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1_XLOOKUP_Advanced" sheetId="2" state="visible" r:id="rId2"/>
    <sheet xmlns:r="http://schemas.openxmlformats.org/officeDocument/2006/relationships" name="2_INDEX_MATCH" sheetId="3" state="visible" r:id="rId3"/>
    <sheet xmlns:r="http://schemas.openxmlformats.org/officeDocument/2006/relationships" name="5_MIS_TAT_Template" sheetId="4" state="visible" r:id="rId4"/>
    <sheet xmlns:r="http://schemas.openxmlformats.org/officeDocument/2006/relationships" name="3_Power_Query_Cle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595959"/>
      <sz val="9"/>
    </font>
    <font>
      <name val="Arial"/>
      <b val="1"/>
      <color rgb="00FFFFFF"/>
      <sz val="10"/>
    </font>
    <font>
      <name val="Arial"/>
      <b val="1"/>
      <color rgb="002E75B6"/>
      <sz val="9"/>
    </font>
    <font>
      <name val="Arial"/>
      <sz val="9"/>
    </font>
    <font>
      <name val="Arial"/>
      <b val="1"/>
      <color rgb="00595959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i val="1"/>
      <color rgb="00999999"/>
      <sz val="9"/>
    </font>
    <font>
      <name val="Arial"/>
      <b val="1"/>
      <color rgb="001F3864"/>
      <sz val="9"/>
    </font>
    <font>
      <name val="Courier New"/>
      <color rgb="00006400"/>
      <sz val="8"/>
    </font>
    <font>
      <name val="Arial"/>
      <i val="1"/>
      <color rgb="00595959"/>
      <sz val="8"/>
    </font>
    <font>
      <name val="Arial"/>
      <b val="1"/>
      <color rgb="001F6B75"/>
      <sz val="9"/>
    </font>
    <font>
      <name val="Arial"/>
      <b val="1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CE1"/>
      </patternFill>
    </fill>
    <fill>
      <patternFill patternType="solid">
        <fgColor rgb="00EDEDED"/>
      </patternFill>
    </fill>
    <fill>
      <patternFill patternType="solid">
        <fgColor rgb="00EAD8F5"/>
      </patternFill>
    </fill>
    <fill>
      <patternFill patternType="solid">
        <fgColor rgb="001F6B75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6" borderId="1" pivotButton="0" quotePrefix="0" xfId="0"/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/>
    </xf>
    <xf numFmtId="0" fontId="4" fillId="7" borderId="1" pivotButton="0" quotePrefix="0" xfId="0"/>
    <xf numFmtId="0" fontId="5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6" fillId="10" borderId="1" applyAlignment="1" pivotButton="0" quotePrefix="0" xfId="0">
      <alignment horizontal="center"/>
    </xf>
    <xf numFmtId="0" fontId="6" fillId="11" borderId="1" applyAlignment="1" pivotButton="0" quotePrefix="0" xfId="0">
      <alignment horizontal="center"/>
    </xf>
    <xf numFmtId="0" fontId="6" fillId="12" borderId="1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10" fillId="8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14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0" fillId="0" borderId="1" pivotButton="0" quotePrefix="0" xfId="0"/>
    <xf numFmtId="0" fontId="5" fillId="6" borderId="1" applyAlignment="1" pivotButton="0" quotePrefix="0" xfId="0">
      <alignment horizontal="left"/>
    </xf>
    <xf numFmtId="0" fontId="4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left"/>
    </xf>
    <xf numFmtId="0" fontId="4" fillId="7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0" fontId="7" fillId="16" borderId="0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11" fillId="7" borderId="0" pivotButton="0" quotePrefix="0" xfId="0"/>
    <xf numFmtId="0" fontId="1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D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50" customWidth="1" min="3" max="3"/>
    <col width="22" customWidth="1" min="4" max="4"/>
  </cols>
  <sheetData>
    <row r="1" ht="30" customHeight="1">
      <c r="B1" s="1" t="inlineStr">
        <is>
          <t>ADVANCED EXCEL TOOLKIT — XLOOKUP | POWER QUERY | INDEX-MATCH</t>
        </is>
      </c>
    </row>
    <row r="2" ht="16" customHeight="1">
      <c r="B2" s="2" t="inlineStr">
        <is>
          <t>Srinivas G  |  Data &amp; Business Operations Analyst  |  Hyderabad</t>
        </is>
      </c>
    </row>
    <row r="4" ht="20" customHeight="1">
      <c r="B4" s="3" t="inlineStr">
        <is>
          <t>Sheet</t>
        </is>
      </c>
      <c r="C4" s="3" t="inlineStr">
        <is>
          <t>What It Demonstrates</t>
        </is>
      </c>
      <c r="D4" s="3" t="inlineStr">
        <is>
          <t>Skill Tag</t>
        </is>
      </c>
    </row>
    <row r="5" ht="18" customHeight="1">
      <c r="B5" s="4" t="inlineStr">
        <is>
          <t>1_XLOOKUP_Advanced</t>
        </is>
      </c>
      <c r="C5" s="5" t="inlineStr">
        <is>
          <t>XLOOKUP with exact/approx match, reverse search, wildcards, nested XLOOKUP</t>
        </is>
      </c>
      <c r="D5" s="6" t="inlineStr">
        <is>
          <t>Advanced Excel</t>
        </is>
      </c>
    </row>
    <row r="6" ht="18" customHeight="1">
      <c r="B6" s="7" t="inlineStr">
        <is>
          <t>2_INDEX_MATCH</t>
        </is>
      </c>
      <c r="C6" s="8" t="inlineStr">
        <is>
          <t>INDEX-MATCH vs VLOOKUP — multi-condition, 2D lookup, dynamic arrays</t>
        </is>
      </c>
      <c r="D6" s="6" t="inlineStr">
        <is>
          <t>Advanced Excel</t>
        </is>
      </c>
    </row>
    <row r="7" ht="18" customHeight="1">
      <c r="B7" s="4" t="inlineStr">
        <is>
          <t>3_Power_Query_Clean</t>
        </is>
      </c>
      <c r="C7" s="5" t="inlineStr">
        <is>
          <t>Raw dirty data → cleaned output using Power Query steps (documented)</t>
        </is>
      </c>
      <c r="D7" s="9" t="inlineStr">
        <is>
          <t>Power Query</t>
        </is>
      </c>
    </row>
    <row r="8" ht="18" customHeight="1">
      <c r="B8" s="7" t="inlineStr">
        <is>
          <t>4_Power_Pivot_Model</t>
        </is>
      </c>
      <c r="C8" s="8" t="inlineStr">
        <is>
          <t>Data model with relationships, DAX-style calculated columns, pivot</t>
        </is>
      </c>
      <c r="D8" s="10" t="inlineStr">
        <is>
          <t>Power Pivot</t>
        </is>
      </c>
    </row>
    <row r="9" ht="18" customHeight="1">
      <c r="B9" s="4" t="inlineStr">
        <is>
          <t>5_MIS_TAT_Template</t>
        </is>
      </c>
      <c r="C9" s="5" t="inlineStr">
        <is>
          <t>Time-Against-Target tracker with SLA breach alerts — mirrors KDL work</t>
        </is>
      </c>
      <c r="D9" s="11" t="inlineStr">
        <is>
          <t>MIS Reporting</t>
        </is>
      </c>
    </row>
    <row r="10" ht="18" customHeight="1">
      <c r="B10" s="7" t="inlineStr">
        <is>
          <t>6_Dynamic_Dashboard</t>
        </is>
      </c>
      <c r="C10" s="8" t="inlineStr">
        <is>
          <t>Interactive dashboard using slicers, named ranges, and dynamic formulas</t>
        </is>
      </c>
      <c r="D10" s="12" t="inlineStr">
        <is>
          <t>Dashboard Dev</t>
        </is>
      </c>
    </row>
    <row r="11" ht="18" customHeight="1">
      <c r="B11" s="4" t="inlineStr">
        <is>
          <t>7_Data_Validation</t>
        </is>
      </c>
      <c r="C11" s="5" t="inlineStr">
        <is>
          <t>Dropdown lists, conditional validation, error alerts, input messages</t>
        </is>
      </c>
      <c r="D11" s="13" t="inlineStr">
        <is>
          <t>Data Quality</t>
        </is>
      </c>
    </row>
  </sheetData>
  <mergeCells count="2">
    <mergeCell ref="B1:D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N2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0" customWidth="1" min="4" max="4"/>
    <col width="12" customWidth="1" min="5" max="5"/>
    <col width="8" customWidth="1" min="6" max="6"/>
    <col width="8" customWidth="1" min="7" max="7"/>
    <col width="20" customWidth="1" min="9" max="9"/>
    <col width="14" customWidth="1" min="10" max="10"/>
    <col width="18" customWidth="1" min="11" max="11"/>
    <col width="42" customWidth="1" min="12" max="12"/>
    <col width="5" customWidth="1" min="13" max="13"/>
    <col width="5" customWidth="1" min="14" max="14"/>
  </cols>
  <sheetData>
    <row r="1" ht="24" customHeight="1">
      <c r="A1" s="14" t="inlineStr">
        <is>
          <t>XLOOKUP FORMULA EXAMPLES — SOURCE DATA + LIVE FORMULAS</t>
        </is>
      </c>
      <c r="I1" s="15" t="inlineStr">
        <is>
          <t>XLOOKUP EXAMPLES — TRY CHANGING THE LOOKUP VALUES</t>
        </is>
      </c>
    </row>
    <row r="2">
      <c r="A2" s="16" t="inlineStr">
        <is>
          <t>Emp ID</t>
        </is>
      </c>
      <c r="B2" s="16" t="inlineStr">
        <is>
          <t>Name</t>
        </is>
      </c>
      <c r="C2" s="16" t="inlineStr">
        <is>
          <t>Department</t>
        </is>
      </c>
      <c r="D2" s="16" t="inlineStr">
        <is>
          <t>Region</t>
        </is>
      </c>
      <c r="E2" s="16" t="inlineStr">
        <is>
          <t>Salary (₹)</t>
        </is>
      </c>
      <c r="F2" s="16" t="inlineStr">
        <is>
          <t>Grade</t>
        </is>
      </c>
      <c r="G2" s="16" t="inlineStr">
        <is>
          <t>Active</t>
        </is>
      </c>
    </row>
    <row r="3">
      <c r="A3" s="17" t="inlineStr">
        <is>
          <t>E001</t>
        </is>
      </c>
      <c r="B3" s="17" t="inlineStr">
        <is>
          <t>Ravi Kumar</t>
        </is>
      </c>
      <c r="C3" s="17" t="inlineStr">
        <is>
          <t>Analytics</t>
        </is>
      </c>
      <c r="D3" s="17" t="inlineStr">
        <is>
          <t>South</t>
        </is>
      </c>
      <c r="E3" s="17" t="n">
        <v>65000</v>
      </c>
      <c r="F3" s="17" t="inlineStr">
        <is>
          <t>A</t>
        </is>
      </c>
      <c r="G3" s="17" t="inlineStr">
        <is>
          <t>Yes</t>
        </is>
      </c>
      <c r="I3" s="18" t="inlineStr">
        <is>
          <t>Basic XLOOKUP</t>
        </is>
      </c>
      <c r="J3" s="19" t="n"/>
      <c r="K3" s="19" t="n"/>
      <c r="L3" s="19" t="n"/>
      <c r="M3" s="19" t="n"/>
      <c r="N3" s="19" t="n"/>
    </row>
    <row r="4">
      <c r="A4" s="20" t="inlineStr">
        <is>
          <t>E002</t>
        </is>
      </c>
      <c r="B4" s="20" t="inlineStr">
        <is>
          <t>Priya Sharma</t>
        </is>
      </c>
      <c r="C4" s="20" t="inlineStr">
        <is>
          <t>HR</t>
        </is>
      </c>
      <c r="D4" s="20" t="inlineStr">
        <is>
          <t>West</t>
        </is>
      </c>
      <c r="E4" s="20" t="n">
        <v>48000</v>
      </c>
      <c r="F4" s="20" t="inlineStr">
        <is>
          <t>B</t>
        </is>
      </c>
      <c r="G4" s="20" t="inlineStr">
        <is>
          <t>Yes</t>
        </is>
      </c>
      <c r="I4" s="21" t="inlineStr">
        <is>
          <t>Lookup ID:</t>
        </is>
      </c>
      <c r="J4" s="22" t="inlineStr">
        <is>
          <t>E004</t>
        </is>
      </c>
      <c r="K4" s="21" t="inlineStr">
        <is>
          <t>Name:</t>
        </is>
      </c>
      <c r="L4" s="23">
        <f>XLOOKUP(K3,A3:A12,B3:B12,"Not Found")</f>
        <v/>
      </c>
      <c r="M4" s="19" t="n"/>
      <c r="N4" s="19" t="n"/>
    </row>
    <row r="5">
      <c r="A5" s="24" t="inlineStr">
        <is>
          <t>E003</t>
        </is>
      </c>
      <c r="B5" s="24" t="inlineStr">
        <is>
          <t>Amit Thapa</t>
        </is>
      </c>
      <c r="C5" s="24" t="inlineStr">
        <is>
          <t>Operations</t>
        </is>
      </c>
      <c r="D5" s="24" t="inlineStr">
        <is>
          <t>Nepal</t>
        </is>
      </c>
      <c r="E5" s="24" t="n">
        <v>55000</v>
      </c>
      <c r="F5" s="24" t="inlineStr">
        <is>
          <t>B</t>
        </is>
      </c>
      <c r="G5" s="24" t="inlineStr">
        <is>
          <t>No</t>
        </is>
      </c>
      <c r="I5" s="25" t="inlineStr">
        <is>
          <t>Note: Returns name for any Emp ID. Handles missing values with 'Not Found'.</t>
        </is>
      </c>
      <c r="J5" s="19" t="n"/>
      <c r="K5" s="19" t="n"/>
      <c r="L5" s="19" t="n"/>
      <c r="M5" s="19" t="n"/>
      <c r="N5" s="19" t="n"/>
    </row>
    <row r="6">
      <c r="A6" s="20" t="inlineStr">
        <is>
          <t>E004</t>
        </is>
      </c>
      <c r="B6" s="20" t="inlineStr">
        <is>
          <t>Sneha Patel</t>
        </is>
      </c>
      <c r="C6" s="20" t="inlineStr">
        <is>
          <t>BI &amp; Analytics</t>
        </is>
      </c>
      <c r="D6" s="20" t="inlineStr">
        <is>
          <t>West</t>
        </is>
      </c>
      <c r="E6" s="20" t="n">
        <v>82000</v>
      </c>
      <c r="F6" s="20" t="inlineStr">
        <is>
          <t>A</t>
        </is>
      </c>
      <c r="G6" s="20" t="inlineStr">
        <is>
          <t>Yes</t>
        </is>
      </c>
    </row>
    <row r="7">
      <c r="A7" s="17" t="inlineStr">
        <is>
          <t>E005</t>
        </is>
      </c>
      <c r="B7" s="17" t="inlineStr">
        <is>
          <t>Karan Yadav</t>
        </is>
      </c>
      <c r="C7" s="17" t="inlineStr">
        <is>
          <t>Supply Chain</t>
        </is>
      </c>
      <c r="D7" s="17" t="inlineStr">
        <is>
          <t>South</t>
        </is>
      </c>
      <c r="E7" s="17" t="n">
        <v>45000</v>
      </c>
      <c r="F7" s="17" t="inlineStr">
        <is>
          <t>C</t>
        </is>
      </c>
      <c r="G7" s="17" t="inlineStr">
        <is>
          <t>Yes</t>
        </is>
      </c>
      <c r="I7" s="18" t="inlineStr">
        <is>
          <t>Return Multiple Cols</t>
        </is>
      </c>
      <c r="J7" s="19" t="n"/>
      <c r="K7" s="19" t="n"/>
      <c r="L7" s="19" t="n"/>
      <c r="M7" s="19" t="n"/>
      <c r="N7" s="19" t="n"/>
    </row>
    <row r="8">
      <c r="A8" s="20" t="inlineStr">
        <is>
          <t>E006</t>
        </is>
      </c>
      <c r="B8" s="20" t="inlineStr">
        <is>
          <t>Meera Joshi</t>
        </is>
      </c>
      <c r="C8" s="20" t="inlineStr">
        <is>
          <t>HR Analytics</t>
        </is>
      </c>
      <c r="D8" s="20" t="inlineStr">
        <is>
          <t>South</t>
        </is>
      </c>
      <c r="E8" s="20" t="n">
        <v>52000</v>
      </c>
      <c r="F8" s="20" t="inlineStr">
        <is>
          <t>B</t>
        </is>
      </c>
      <c r="G8" s="20" t="inlineStr">
        <is>
          <t>Yes</t>
        </is>
      </c>
      <c r="I8" s="21" t="inlineStr">
        <is>
          <t>Lookup ID:</t>
        </is>
      </c>
      <c r="J8" s="22" t="inlineStr">
        <is>
          <t>E007</t>
        </is>
      </c>
      <c r="K8" s="21" t="inlineStr">
        <is>
          <t>Dept &amp; Salary:</t>
        </is>
      </c>
      <c r="L8" s="23">
        <f>XLOOKUP(K5,A3:A12,C3:D3:E3:E12,"Not Found")</f>
        <v/>
      </c>
      <c r="M8" s="19" t="n"/>
      <c r="N8" s="19" t="n"/>
    </row>
    <row r="9">
      <c r="A9" s="17" t="inlineStr">
        <is>
          <t>E007</t>
        </is>
      </c>
      <c r="B9" s="17" t="inlineStr">
        <is>
          <t>Bikash Rai</t>
        </is>
      </c>
      <c r="C9" s="17" t="inlineStr">
        <is>
          <t>Operations</t>
        </is>
      </c>
      <c r="D9" s="17" t="inlineStr">
        <is>
          <t>Nepal</t>
        </is>
      </c>
      <c r="E9" s="17" t="n">
        <v>88000</v>
      </c>
      <c r="F9" s="17" t="inlineStr">
        <is>
          <t>A</t>
        </is>
      </c>
      <c r="G9" s="17" t="inlineStr">
        <is>
          <t>Yes</t>
        </is>
      </c>
      <c r="I9" s="25" t="inlineStr">
        <is>
          <t>Note: Single XLOOKUP returns multiple columns — not possible with VLOOKUP.</t>
        </is>
      </c>
      <c r="J9" s="19" t="n"/>
      <c r="K9" s="19" t="n"/>
      <c r="L9" s="19" t="n"/>
      <c r="M9" s="19" t="n"/>
      <c r="N9" s="19" t="n"/>
    </row>
    <row r="10">
      <c r="A10" s="26" t="inlineStr">
        <is>
          <t>E008</t>
        </is>
      </c>
      <c r="B10" s="26" t="inlineStr">
        <is>
          <t>Dinesh Reddy</t>
        </is>
      </c>
      <c r="C10" s="26" t="inlineStr">
        <is>
          <t>Analytics</t>
        </is>
      </c>
      <c r="D10" s="26" t="inlineStr">
        <is>
          <t>South</t>
        </is>
      </c>
      <c r="E10" s="26" t="n">
        <v>71000</v>
      </c>
      <c r="F10" s="26" t="inlineStr">
        <is>
          <t>A</t>
        </is>
      </c>
      <c r="G10" s="26" t="inlineStr">
        <is>
          <t>No</t>
        </is>
      </c>
    </row>
    <row r="11">
      <c r="A11" s="17" t="inlineStr">
        <is>
          <t>E009</t>
        </is>
      </c>
      <c r="B11" s="17" t="inlineStr">
        <is>
          <t>Lakshmi T</t>
        </is>
      </c>
      <c r="C11" s="17" t="inlineStr">
        <is>
          <t>Finance</t>
        </is>
      </c>
      <c r="D11" s="17" t="inlineStr">
        <is>
          <t>East</t>
        </is>
      </c>
      <c r="E11" s="17" t="n">
        <v>58000</v>
      </c>
      <c r="F11" s="17" t="inlineStr">
        <is>
          <t>B</t>
        </is>
      </c>
      <c r="G11" s="17" t="inlineStr">
        <is>
          <t>Yes</t>
        </is>
      </c>
      <c r="I11" s="18" t="inlineStr">
        <is>
          <t>Wildcard Match</t>
        </is>
      </c>
      <c r="J11" s="19" t="n"/>
      <c r="K11" s="19" t="n"/>
      <c r="L11" s="19" t="n"/>
      <c r="M11" s="19" t="n"/>
      <c r="N11" s="19" t="n"/>
    </row>
    <row r="12">
      <c r="A12" s="20" t="inlineStr">
        <is>
          <t>E010</t>
        </is>
      </c>
      <c r="B12" s="20" t="inlineStr">
        <is>
          <t>Arjun Nair</t>
        </is>
      </c>
      <c r="C12" s="20" t="inlineStr">
        <is>
          <t>BI &amp; Analytics</t>
        </is>
      </c>
      <c r="D12" s="20" t="inlineStr">
        <is>
          <t>West</t>
        </is>
      </c>
      <c r="E12" s="20" t="n">
        <v>95000</v>
      </c>
      <c r="F12" s="20" t="inlineStr">
        <is>
          <t>A</t>
        </is>
      </c>
      <c r="G12" s="20" t="inlineStr">
        <is>
          <t>Yes</t>
        </is>
      </c>
      <c r="I12" s="21" t="inlineStr">
        <is>
          <t>Search Name:</t>
        </is>
      </c>
      <c r="J12" s="22" t="inlineStr">
        <is>
          <t>Priya*</t>
        </is>
      </c>
      <c r="K12" s="21" t="inlineStr">
        <is>
          <t>Result:</t>
        </is>
      </c>
      <c r="L12" s="23">
        <f>XLOOKUP(K7,B3:B12,E3:E12,"Not Found",2)</f>
        <v/>
      </c>
      <c r="M12" s="19" t="n"/>
      <c r="N12" s="19" t="n"/>
    </row>
    <row r="13">
      <c r="I13" s="25" t="inlineStr">
        <is>
          <t>Note: match_mode=2 enables wildcard. Finds 'Priya Sharma' using 'Priya*'.</t>
        </is>
      </c>
      <c r="J13" s="19" t="n"/>
      <c r="K13" s="19" t="n"/>
      <c r="L13" s="19" t="n"/>
      <c r="M13" s="19" t="n"/>
      <c r="N13" s="19" t="n"/>
    </row>
    <row r="15">
      <c r="I15" s="18" t="inlineStr">
        <is>
          <t>Reverse / Last Match</t>
        </is>
      </c>
      <c r="J15" s="19" t="n"/>
      <c r="K15" s="19" t="n"/>
      <c r="L15" s="19" t="n"/>
      <c r="M15" s="19" t="n"/>
      <c r="N15" s="19" t="n"/>
    </row>
    <row r="16">
      <c r="I16" s="21" t="inlineStr">
        <is>
          <t>Department:</t>
        </is>
      </c>
      <c r="J16" s="22" t="inlineStr">
        <is>
          <t>Analytics</t>
        </is>
      </c>
      <c r="K16" s="21" t="inlineStr">
        <is>
          <t>Last Salary:</t>
        </is>
      </c>
      <c r="L16" s="23">
        <f>XLOOKUP(K9,C3:C12,E3:E12,"Not Found",0,-1)</f>
        <v/>
      </c>
      <c r="M16" s="19" t="n"/>
      <c r="N16" s="19" t="n"/>
    </row>
    <row r="17">
      <c r="I17" s="25" t="inlineStr">
        <is>
          <t>Note: search_mode=-1 searches from bottom up, returning the LAST match.</t>
        </is>
      </c>
      <c r="J17" s="19" t="n"/>
      <c r="K17" s="19" t="n"/>
      <c r="L17" s="19" t="n"/>
      <c r="M17" s="19" t="n"/>
      <c r="N17" s="19" t="n"/>
    </row>
    <row r="19">
      <c r="I19" s="18" t="inlineStr">
        <is>
          <t>Nested XLOOKUP (2D)</t>
        </is>
      </c>
      <c r="J19" s="19" t="n"/>
      <c r="K19" s="19" t="n"/>
      <c r="L19" s="19" t="n"/>
      <c r="M19" s="19" t="n"/>
      <c r="N19" s="19" t="n"/>
    </row>
    <row r="20">
      <c r="I20" s="21" t="inlineStr">
        <is>
          <t>Grade:</t>
        </is>
      </c>
      <c r="J20" s="22" t="inlineStr">
        <is>
          <t>A</t>
        </is>
      </c>
      <c r="K20" s="21" t="inlineStr">
        <is>
          <t>Highest Salary:</t>
        </is>
      </c>
      <c r="L20" s="23">
        <f>MAX(XLOOKUP(K11,F3:F12,E3:E12,"Not Found"))</f>
        <v/>
      </c>
      <c r="M20" s="19" t="n"/>
      <c r="N20" s="19" t="n"/>
    </row>
    <row r="21">
      <c r="I21" s="25" t="inlineStr">
        <is>
          <t>Note: Returns all salaries for Grade A, then MAX picks highest.</t>
        </is>
      </c>
      <c r="J21" s="19" t="n"/>
      <c r="K21" s="19" t="n"/>
      <c r="L21" s="19" t="n"/>
      <c r="M21" s="19" t="n"/>
      <c r="N21" s="19" t="n"/>
    </row>
    <row r="23">
      <c r="I23" s="18" t="inlineStr">
        <is>
          <t>XLOOKUP with IF</t>
        </is>
      </c>
      <c r="J23" s="19" t="n"/>
      <c r="K23" s="19" t="n"/>
      <c r="L23" s="19" t="n"/>
      <c r="M23" s="19" t="n"/>
      <c r="N23" s="19" t="n"/>
    </row>
    <row r="24">
      <c r="I24" s="21" t="inlineStr">
        <is>
          <t>Active Only:</t>
        </is>
      </c>
      <c r="J24" s="22" t="inlineStr">
        <is>
          <t>Yes</t>
        </is>
      </c>
      <c r="K24" s="21" t="inlineStr">
        <is>
          <t>Avg Salary:</t>
        </is>
      </c>
      <c r="L24" s="23">
        <f>AVERAGE(IF(G3:G12=K13,E3:E12))</f>
        <v/>
      </c>
      <c r="M24" s="19" t="n"/>
      <c r="N24" s="19" t="n"/>
    </row>
    <row r="25">
      <c r="I25" s="25" t="inlineStr">
        <is>
          <t>Note: Averages salary only for Active employees (Ctrl+Shift+Enter for array).</t>
        </is>
      </c>
      <c r="J25" s="19" t="n"/>
      <c r="K25" s="19" t="n"/>
      <c r="L25" s="19" t="n"/>
      <c r="M25" s="19" t="n"/>
      <c r="N25" s="19" t="n"/>
    </row>
  </sheetData>
  <mergeCells count="20">
    <mergeCell ref="I7:N7"/>
    <mergeCell ref="I25:N25"/>
    <mergeCell ref="L24:N24"/>
    <mergeCell ref="L8:N8"/>
    <mergeCell ref="I3:N3"/>
    <mergeCell ref="L4:N4"/>
    <mergeCell ref="L20:N20"/>
    <mergeCell ref="I21:N21"/>
    <mergeCell ref="I5:N5"/>
    <mergeCell ref="I17:N17"/>
    <mergeCell ref="I23:N23"/>
    <mergeCell ref="I1:N1"/>
    <mergeCell ref="A1:G1"/>
    <mergeCell ref="I19:N19"/>
    <mergeCell ref="I13:N13"/>
    <mergeCell ref="I9:N9"/>
    <mergeCell ref="I15:N15"/>
    <mergeCell ref="L16:N16"/>
    <mergeCell ref="I11:N11"/>
    <mergeCell ref="L12:N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6B75"/>
    <outlinePr summaryBelow="1" summaryRight="1"/>
    <pageSetUpPr/>
  </sheetPr>
  <dimension ref="A1:O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2" customWidth="1" min="4" max="4"/>
    <col width="12" customWidth="1" min="5" max="5"/>
    <col width="8" customWidth="1" min="6" max="6"/>
    <col width="12" customWidth="1" min="7" max="7"/>
    <col width="12" customWidth="1" min="8" max="8"/>
    <col width="22" customWidth="1" min="10" max="10"/>
    <col width="22" customWidth="1" min="11" max="11"/>
    <col width="20" customWidth="1" min="12" max="12"/>
    <col width="45" customWidth="1" min="13" max="13"/>
    <col width="5" customWidth="1" min="14" max="14"/>
    <col width="5" customWidth="1" min="15" max="15"/>
  </cols>
  <sheetData>
    <row r="1" ht="24" customHeight="1">
      <c r="A1" s="14" t="inlineStr">
        <is>
          <t>INDEX-MATCH EXAMPLES — THE POWER ALTERNATIVE TO VLOOKUP</t>
        </is>
      </c>
      <c r="J1" s="15" t="inlineStr">
        <is>
          <t>INDEX-MATCH FORMULA PATTERNS</t>
        </is>
      </c>
    </row>
    <row r="2">
      <c r="A2" s="27" t="inlineStr">
        <is>
          <t>Product ID</t>
        </is>
      </c>
      <c r="B2" s="27" t="inlineStr">
        <is>
          <t>Product Name</t>
        </is>
      </c>
      <c r="C2" s="27" t="inlineStr">
        <is>
          <t>Category</t>
        </is>
      </c>
      <c r="D2" s="27" t="inlineStr">
        <is>
          <t>Brand</t>
        </is>
      </c>
      <c r="E2" s="27" t="inlineStr">
        <is>
          <t>MRP (₹)</t>
        </is>
      </c>
      <c r="F2" s="27" t="inlineStr">
        <is>
          <t>Stock</t>
        </is>
      </c>
      <c r="G2" s="27" t="inlineStr">
        <is>
          <t>Warehouse</t>
        </is>
      </c>
      <c r="H2" s="27" t="inlineStr">
        <is>
          <t>Last Audit</t>
        </is>
      </c>
    </row>
    <row r="3">
      <c r="A3" s="17" t="inlineStr">
        <is>
          <t>P001</t>
        </is>
      </c>
      <c r="B3" s="17" t="inlineStr">
        <is>
          <t>Samsung 55" TV</t>
        </is>
      </c>
      <c r="C3" s="17" t="inlineStr">
        <is>
          <t>Electronics</t>
        </is>
      </c>
      <c r="D3" s="17" t="inlineStr">
        <is>
          <t>Samsung</t>
        </is>
      </c>
      <c r="E3" s="17" t="n">
        <v>55000</v>
      </c>
      <c r="F3" s="17" t="n">
        <v>120</v>
      </c>
      <c r="G3" s="17" t="inlineStr">
        <is>
          <t>WH-A</t>
        </is>
      </c>
      <c r="H3" s="17" t="inlineStr">
        <is>
          <t>2024-12-01</t>
        </is>
      </c>
      <c r="J3" s="28" t="inlineStr">
        <is>
          <t>Basic INDEX-MATCH</t>
        </is>
      </c>
      <c r="K3" s="29" t="n"/>
      <c r="L3" s="29" t="n"/>
      <c r="M3" s="29" t="n"/>
      <c r="N3" s="29" t="n"/>
      <c r="O3" s="29" t="n"/>
    </row>
    <row r="4">
      <c r="A4" s="20" t="inlineStr">
        <is>
          <t>P002</t>
        </is>
      </c>
      <c r="B4" s="20" t="inlineStr">
        <is>
          <t>Whirlpool Fridge</t>
        </is>
      </c>
      <c r="C4" s="20" t="inlineStr">
        <is>
          <t>Appliances</t>
        </is>
      </c>
      <c r="D4" s="20" t="inlineStr">
        <is>
          <t>Whirlpool</t>
        </is>
      </c>
      <c r="E4" s="20" t="n">
        <v>32000</v>
      </c>
      <c r="F4" s="20" t="n">
        <v>45</v>
      </c>
      <c r="G4" s="20" t="inlineStr">
        <is>
          <t>WH-B</t>
        </is>
      </c>
      <c r="H4" s="20" t="inlineStr">
        <is>
          <t>2024-12-05</t>
        </is>
      </c>
      <c r="J4" s="30" t="inlineStr">
        <is>
          <t>Lookup:</t>
        </is>
      </c>
      <c r="K4" s="31" t="inlineStr">
        <is>
          <t>P004</t>
        </is>
      </c>
      <c r="L4" s="30" t="inlineStr">
        <is>
          <t>MRP:</t>
        </is>
      </c>
      <c r="M4" s="32">
        <f>INDEX(E3:E10,MATCH(L3,A3:A10,0))</f>
        <v/>
      </c>
      <c r="N4" s="29" t="n"/>
      <c r="O4" s="29" t="n"/>
    </row>
    <row r="5">
      <c r="A5" s="17" t="inlineStr">
        <is>
          <t>P003</t>
        </is>
      </c>
      <c r="B5" s="17" t="inlineStr">
        <is>
          <t>Bosch Washing Machine</t>
        </is>
      </c>
      <c r="C5" s="17" t="inlineStr">
        <is>
          <t>Appliances</t>
        </is>
      </c>
      <c r="D5" s="17" t="inlineStr">
        <is>
          <t>Bosch</t>
        </is>
      </c>
      <c r="E5" s="17" t="n">
        <v>38000</v>
      </c>
      <c r="F5" s="17" t="n">
        <v>30</v>
      </c>
      <c r="G5" s="17" t="inlineStr">
        <is>
          <t>WH-A</t>
        </is>
      </c>
      <c r="H5" s="17" t="inlineStr">
        <is>
          <t>2024-12-03</t>
        </is>
      </c>
      <c r="J5" s="33" t="inlineStr">
        <is>
          <t>Note: Equivalent to VLOOKUP but looks LEFT too — not limited to rightward columns.</t>
        </is>
      </c>
      <c r="K5" s="29" t="n"/>
      <c r="L5" s="29" t="n"/>
      <c r="M5" s="29" t="n"/>
      <c r="N5" s="29" t="n"/>
      <c r="O5" s="29" t="n"/>
    </row>
    <row r="6">
      <c r="A6" s="20" t="inlineStr">
        <is>
          <t>P004</t>
        </is>
      </c>
      <c r="B6" s="20" t="inlineStr">
        <is>
          <t>LG Air Conditioner</t>
        </is>
      </c>
      <c r="C6" s="20" t="inlineStr">
        <is>
          <t>Electronics</t>
        </is>
      </c>
      <c r="D6" s="20" t="inlineStr">
        <is>
          <t>LG</t>
        </is>
      </c>
      <c r="E6" s="20" t="n">
        <v>42000</v>
      </c>
      <c r="F6" s="20" t="n">
        <v>60</v>
      </c>
      <c r="G6" s="20" t="inlineStr">
        <is>
          <t>WH-C</t>
        </is>
      </c>
      <c r="H6" s="20" t="inlineStr">
        <is>
          <t>2024-11-28</t>
        </is>
      </c>
    </row>
    <row r="7">
      <c r="A7" s="17" t="inlineStr">
        <is>
          <t>P005</t>
        </is>
      </c>
      <c r="B7" s="17" t="inlineStr">
        <is>
          <t>Philips Mixer</t>
        </is>
      </c>
      <c r="C7" s="17" t="inlineStr">
        <is>
          <t>Appliances</t>
        </is>
      </c>
      <c r="D7" s="17" t="inlineStr">
        <is>
          <t>Philips</t>
        </is>
      </c>
      <c r="E7" s="17" t="n">
        <v>4500</v>
      </c>
      <c r="F7" s="17" t="n">
        <v>200</v>
      </c>
      <c r="G7" s="17" t="inlineStr">
        <is>
          <t>WH-B</t>
        </is>
      </c>
      <c r="H7" s="17" t="inlineStr">
        <is>
          <t>2024-12-10</t>
        </is>
      </c>
      <c r="J7" s="28" t="inlineStr">
        <is>
          <t>Two-Condition Match</t>
        </is>
      </c>
      <c r="K7" s="29" t="n"/>
      <c r="L7" s="29" t="n"/>
      <c r="M7" s="29" t="n"/>
      <c r="N7" s="29" t="n"/>
      <c r="O7" s="29" t="n"/>
    </row>
    <row r="8">
      <c r="A8" s="20" t="inlineStr">
        <is>
          <t>P006</t>
        </is>
      </c>
      <c r="B8" s="20" t="inlineStr">
        <is>
          <t>Sony Soundbar</t>
        </is>
      </c>
      <c r="C8" s="20" t="inlineStr">
        <is>
          <t>Electronics</t>
        </is>
      </c>
      <c r="D8" s="20" t="inlineStr">
        <is>
          <t>Sony</t>
        </is>
      </c>
      <c r="E8" s="20" t="n">
        <v>18000</v>
      </c>
      <c r="F8" s="20" t="n">
        <v>85</v>
      </c>
      <c r="G8" s="20" t="inlineStr">
        <is>
          <t>WH-A</t>
        </is>
      </c>
      <c r="H8" s="20" t="inlineStr">
        <is>
          <t>2024-12-02</t>
        </is>
      </c>
      <c r="J8" s="30" t="inlineStr">
        <is>
          <t>Brand + Category:</t>
        </is>
      </c>
      <c r="K8" s="31" t="inlineStr">
        <is>
          <t>Samsung+Electronics</t>
        </is>
      </c>
      <c r="L8" s="30" t="inlineStr">
        <is>
          <t>Stock:</t>
        </is>
      </c>
      <c r="M8" s="32">
        <f>INDEX(F3:F10,MATCH(1,(D3:D10="Samsung")*(C3:C10="Electronics"),0))</f>
        <v/>
      </c>
      <c r="N8" s="29" t="n"/>
      <c r="O8" s="29" t="n"/>
    </row>
    <row r="9">
      <c r="A9" s="17" t="inlineStr">
        <is>
          <t>P007</t>
        </is>
      </c>
      <c r="B9" s="17" t="inlineStr">
        <is>
          <t>Prestige Cooker</t>
        </is>
      </c>
      <c r="C9" s="17" t="inlineStr">
        <is>
          <t>Kitchenware</t>
        </is>
      </c>
      <c r="D9" s="17" t="inlineStr">
        <is>
          <t>Prestige</t>
        </is>
      </c>
      <c r="E9" s="17" t="n">
        <v>2800</v>
      </c>
      <c r="F9" s="17" t="n">
        <v>350</v>
      </c>
      <c r="G9" s="17" t="inlineStr">
        <is>
          <t>WH-D</t>
        </is>
      </c>
      <c r="H9" s="17" t="inlineStr">
        <is>
          <t>2024-11-30</t>
        </is>
      </c>
      <c r="J9" s="33" t="inlineStr">
        <is>
          <t>Note: Ctrl+Shift+Enter array formula. Matches TWO conditions simultaneously.</t>
        </is>
      </c>
      <c r="K9" s="29" t="n"/>
      <c r="L9" s="29" t="n"/>
      <c r="M9" s="29" t="n"/>
      <c r="N9" s="29" t="n"/>
      <c r="O9" s="29" t="n"/>
    </row>
    <row r="10">
      <c r="A10" s="20" t="inlineStr">
        <is>
          <t>P008</t>
        </is>
      </c>
      <c r="B10" s="20" t="inlineStr">
        <is>
          <t>Samsung Microwave</t>
        </is>
      </c>
      <c r="C10" s="20" t="inlineStr">
        <is>
          <t>Appliances</t>
        </is>
      </c>
      <c r="D10" s="20" t="inlineStr">
        <is>
          <t>Samsung</t>
        </is>
      </c>
      <c r="E10" s="20" t="n">
        <v>12000</v>
      </c>
      <c r="F10" s="20" t="n">
        <v>70</v>
      </c>
      <c r="G10" s="20" t="inlineStr">
        <is>
          <t>WH-B</t>
        </is>
      </c>
      <c r="H10" s="20" t="inlineStr">
        <is>
          <t>2024-12-08</t>
        </is>
      </c>
    </row>
    <row r="11">
      <c r="J11" s="28" t="inlineStr">
        <is>
          <t>2D Lookup</t>
        </is>
      </c>
      <c r="K11" s="29" t="n"/>
      <c r="L11" s="29" t="n"/>
      <c r="M11" s="29" t="n"/>
      <c r="N11" s="29" t="n"/>
      <c r="O11" s="29" t="n"/>
    </row>
    <row r="12">
      <c r="J12" s="30" t="inlineStr">
        <is>
          <t>Product:</t>
        </is>
      </c>
      <c r="K12" s="31" t="inlineStr">
        <is>
          <t>P001</t>
        </is>
      </c>
      <c r="L12" s="30" t="inlineStr">
        <is>
          <t>Field (col no):</t>
        </is>
      </c>
      <c r="M12" s="32">
        <f>INDEX(A3:H10,MATCH("P001",A3:A10,0),5)</f>
        <v/>
      </c>
      <c r="N12" s="29" t="n"/>
      <c r="O12" s="29" t="n"/>
    </row>
    <row r="13">
      <c r="J13" s="33" t="inlineStr">
        <is>
          <t>Note: Change the column number (5=MRP, 6=Stock) to pull any field dynamically.</t>
        </is>
      </c>
      <c r="K13" s="29" t="n"/>
      <c r="L13" s="29" t="n"/>
      <c r="M13" s="29" t="n"/>
      <c r="N13" s="29" t="n"/>
      <c r="O13" s="29" t="n"/>
    </row>
    <row r="15">
      <c r="J15" s="28" t="inlineStr">
        <is>
          <t>Find MIN Stock Item</t>
        </is>
      </c>
      <c r="K15" s="29" t="n"/>
      <c r="L15" s="29" t="n"/>
      <c r="M15" s="29" t="n"/>
      <c r="N15" s="29" t="n"/>
      <c r="O15" s="29" t="n"/>
    </row>
    <row r="16">
      <c r="J16" s="30" t="inlineStr"/>
      <c r="K16" s="31" t="inlineStr"/>
      <c r="L16" s="30" t="inlineStr">
        <is>
          <t>Lowest Stock Product:</t>
        </is>
      </c>
      <c r="M16" s="32">
        <f>INDEX(B3:B10,MATCH(MIN(F3:F10),F3:F10,0))</f>
        <v/>
      </c>
      <c r="N16" s="29" t="n"/>
      <c r="O16" s="29" t="n"/>
    </row>
    <row r="17">
      <c r="J17" s="33" t="inlineStr">
        <is>
          <t>Note: Finds product name with the minimum stock — great for reorder alerts.</t>
        </is>
      </c>
      <c r="K17" s="29" t="n"/>
      <c r="L17" s="29" t="n"/>
      <c r="M17" s="29" t="n"/>
      <c r="N17" s="29" t="n"/>
      <c r="O17" s="29" t="n"/>
    </row>
    <row r="19">
      <c r="J19" s="28" t="inlineStr">
        <is>
          <t>Approx Match (Grade)</t>
        </is>
      </c>
      <c r="K19" s="29" t="n"/>
      <c r="L19" s="29" t="n"/>
      <c r="M19" s="29" t="n"/>
      <c r="N19" s="29" t="n"/>
      <c r="O19" s="29" t="n"/>
    </row>
    <row r="20">
      <c r="J20" s="30" t="inlineStr">
        <is>
          <t>Stock Level:</t>
        </is>
      </c>
      <c r="K20" s="31" t="inlineStr">
        <is>
          <t>45</t>
        </is>
      </c>
      <c r="L20" s="30" t="inlineStr">
        <is>
          <t>Category:</t>
        </is>
      </c>
      <c r="M20" s="32">
        <f>INDEX({"Reorder","Low","Medium","High"},MATCH(45,{0,30,60,100},1))</f>
        <v/>
      </c>
      <c r="N20" s="29" t="n"/>
      <c r="O20" s="29" t="n"/>
    </row>
    <row r="21">
      <c r="J21" s="33" t="inlineStr">
        <is>
          <t>Note: match_type=1 for approx match. Useful for banding / tiering data.</t>
        </is>
      </c>
      <c r="K21" s="29" t="n"/>
      <c r="L21" s="29" t="n"/>
      <c r="M21" s="29" t="n"/>
      <c r="N21" s="29" t="n"/>
      <c r="O21" s="29" t="n"/>
    </row>
  </sheetData>
  <mergeCells count="17">
    <mergeCell ref="J21:O21"/>
    <mergeCell ref="J15:O15"/>
    <mergeCell ref="J7:O7"/>
    <mergeCell ref="J5:O5"/>
    <mergeCell ref="M20:O20"/>
    <mergeCell ref="J1:O1"/>
    <mergeCell ref="J19:O19"/>
    <mergeCell ref="M4:O4"/>
    <mergeCell ref="J13:O13"/>
    <mergeCell ref="J17:O17"/>
    <mergeCell ref="M8:O8"/>
    <mergeCell ref="J9:O9"/>
    <mergeCell ref="A1:H1"/>
    <mergeCell ref="M16:O16"/>
    <mergeCell ref="M12:O12"/>
    <mergeCell ref="J11:O11"/>
    <mergeCell ref="J3: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4" customWidth="1" min="4" max="4"/>
    <col width="18" customWidth="1" min="5" max="5"/>
    <col width="18" customWidth="1" min="6" max="6"/>
    <col width="12" customWidth="1" min="7" max="7"/>
    <col width="12" customWidth="1" min="8" max="8"/>
    <col width="10" customWidth="1" min="9" max="9"/>
    <col width="12" customWidth="1" min="10" max="10"/>
    <col width="16" customWidth="1" min="11" max="11"/>
    <col width="10" customWidth="1" min="12" max="12"/>
  </cols>
  <sheetData>
    <row r="1" ht="24" customHeight="1">
      <c r="A1" s="14" t="inlineStr">
        <is>
          <t>DELIVERY TAT TRACKER — SLA BREACH MONITORING (KDL-STYLE)</t>
        </is>
      </c>
    </row>
    <row r="2" ht="36" customHeight="1">
      <c r="A2" s="34" t="inlineStr">
        <is>
          <t>Order ID</t>
        </is>
      </c>
      <c r="B2" s="34" t="inlineStr">
        <is>
          <t>Customer</t>
        </is>
      </c>
      <c r="C2" s="34" t="inlineStr">
        <is>
          <t>Region</t>
        </is>
      </c>
      <c r="D2" s="34" t="inlineStr">
        <is>
          <t>Order Date</t>
        </is>
      </c>
      <c r="E2" s="34" t="inlineStr">
        <is>
          <t>Expected Delivery</t>
        </is>
      </c>
      <c r="F2" s="34" t="inlineStr">
        <is>
          <t>Actual Delivery</t>
        </is>
      </c>
      <c r="G2" s="34" t="inlineStr">
        <is>
          <t>TAT (Days)</t>
        </is>
      </c>
      <c r="H2" s="34" t="inlineStr">
        <is>
          <t>SLA Target</t>
        </is>
      </c>
      <c r="I2" s="34" t="inlineStr">
        <is>
          <t>Breach?</t>
        </is>
      </c>
      <c r="J2" s="34" t="inlineStr">
        <is>
          <t>Delay (Days)</t>
        </is>
      </c>
      <c r="K2" s="34" t="inlineStr">
        <is>
          <t>Status</t>
        </is>
      </c>
      <c r="L2" s="34" t="inlineStr">
        <is>
          <t>Priority</t>
        </is>
      </c>
    </row>
    <row r="3">
      <c r="A3" s="17" t="inlineStr">
        <is>
          <t>ORD-001</t>
        </is>
      </c>
      <c r="B3" s="17" t="inlineStr">
        <is>
          <t>Reliance Mart</t>
        </is>
      </c>
      <c r="C3" s="17" t="inlineStr">
        <is>
          <t>South</t>
        </is>
      </c>
      <c r="D3" s="17" t="inlineStr">
        <is>
          <t>2024-12-01</t>
        </is>
      </c>
      <c r="E3" s="17" t="inlineStr">
        <is>
          <t>2024-12-05</t>
        </is>
      </c>
      <c r="F3" s="17" t="inlineStr">
        <is>
          <t>2024-12-04</t>
        </is>
      </c>
      <c r="G3" s="35">
        <f>IFERROR(DAYS(F3,D3),"-")</f>
        <v/>
      </c>
      <c r="H3" s="36" t="n">
        <v>3</v>
      </c>
      <c r="I3" s="35">
        <f>IF(G3&gt;H3,"YES","NO")</f>
        <v/>
      </c>
      <c r="J3" s="36">
        <f>MAX(0,G3-H3)</f>
        <v/>
      </c>
      <c r="K3" s="35">
        <f>IF(G3&gt;H3+2,"Critical Delay",IF(G3&gt;H3,"Delayed","On Time"))</f>
        <v/>
      </c>
      <c r="L3" s="36">
        <f>IF(J3&gt;=3,"HIGH",IF(J3&gt;=1,"MEDIUM","LOW"))</f>
        <v/>
      </c>
    </row>
    <row r="4">
      <c r="A4" s="20" t="inlineStr">
        <is>
          <t>ORD-002</t>
        </is>
      </c>
      <c r="B4" s="20" t="inlineStr">
        <is>
          <t>D-Mart</t>
        </is>
      </c>
      <c r="C4" s="20" t="inlineStr">
        <is>
          <t>West</t>
        </is>
      </c>
      <c r="D4" s="20" t="inlineStr">
        <is>
          <t>2024-12-01</t>
        </is>
      </c>
      <c r="E4" s="20" t="inlineStr">
        <is>
          <t>2024-12-04</t>
        </is>
      </c>
      <c r="F4" s="20" t="inlineStr">
        <is>
          <t>2024-12-06</t>
        </is>
      </c>
      <c r="G4" s="37">
        <f>IFERROR(DAYS(F4,D4),"-")</f>
        <v/>
      </c>
      <c r="H4" s="38" t="n">
        <v>3</v>
      </c>
      <c r="I4" s="37">
        <f>IF(G4&gt;H4,"YES","NO")</f>
        <v/>
      </c>
      <c r="J4" s="38">
        <f>MAX(0,G4-H4)</f>
        <v/>
      </c>
      <c r="K4" s="37">
        <f>IF(G4&gt;H4+2,"Critical Delay",IF(G4&gt;H4,"Delayed","On Time"))</f>
        <v/>
      </c>
      <c r="L4" s="38">
        <f>IF(J4&gt;=3,"HIGH",IF(J4&gt;=1,"MEDIUM","LOW"))</f>
        <v/>
      </c>
    </row>
    <row r="5">
      <c r="A5" s="17" t="inlineStr">
        <is>
          <t>ORD-003</t>
        </is>
      </c>
      <c r="B5" s="17" t="inlineStr">
        <is>
          <t>Big Bazaar</t>
        </is>
      </c>
      <c r="C5" s="17" t="inlineStr">
        <is>
          <t>North</t>
        </is>
      </c>
      <c r="D5" s="17" t="inlineStr">
        <is>
          <t>2024-12-02</t>
        </is>
      </c>
      <c r="E5" s="17" t="inlineStr">
        <is>
          <t>2024-12-06</t>
        </is>
      </c>
      <c r="F5" s="17" t="inlineStr">
        <is>
          <t>2024-12-06</t>
        </is>
      </c>
      <c r="G5" s="35">
        <f>IFERROR(DAYS(F5,D5),"-")</f>
        <v/>
      </c>
      <c r="H5" s="36" t="n">
        <v>3</v>
      </c>
      <c r="I5" s="35">
        <f>IF(G5&gt;H5,"YES","NO")</f>
        <v/>
      </c>
      <c r="J5" s="36">
        <f>MAX(0,G5-H5)</f>
        <v/>
      </c>
      <c r="K5" s="35">
        <f>IF(G5&gt;H5+2,"Critical Delay",IF(G5&gt;H5,"Delayed","On Time"))</f>
        <v/>
      </c>
      <c r="L5" s="36">
        <f>IF(J5&gt;=3,"HIGH",IF(J5&gt;=1,"MEDIUM","LOW"))</f>
        <v/>
      </c>
    </row>
    <row r="6">
      <c r="A6" s="20" t="inlineStr">
        <is>
          <t>ORD-004</t>
        </is>
      </c>
      <c r="B6" s="20" t="inlineStr">
        <is>
          <t>Spencer's</t>
        </is>
      </c>
      <c r="C6" s="20" t="inlineStr">
        <is>
          <t>East</t>
        </is>
      </c>
      <c r="D6" s="20" t="inlineStr">
        <is>
          <t>2024-12-02</t>
        </is>
      </c>
      <c r="E6" s="20" t="inlineStr">
        <is>
          <t>2024-12-05</t>
        </is>
      </c>
      <c r="F6" s="20" t="inlineStr">
        <is>
          <t>2024-12-08</t>
        </is>
      </c>
      <c r="G6" s="37">
        <f>IFERROR(DAYS(F6,D6),"-")</f>
        <v/>
      </c>
      <c r="H6" s="38" t="n">
        <v>3</v>
      </c>
      <c r="I6" s="37">
        <f>IF(G6&gt;H6,"YES","NO")</f>
        <v/>
      </c>
      <c r="J6" s="38">
        <f>MAX(0,G6-H6)</f>
        <v/>
      </c>
      <c r="K6" s="37">
        <f>IF(G6&gt;H6+2,"Critical Delay",IF(G6&gt;H6,"Delayed","On Time"))</f>
        <v/>
      </c>
      <c r="L6" s="38">
        <f>IF(J6&gt;=3,"HIGH",IF(J6&gt;=1,"MEDIUM","LOW"))</f>
        <v/>
      </c>
    </row>
    <row r="7">
      <c r="A7" s="17" t="inlineStr">
        <is>
          <t>ORD-005</t>
        </is>
      </c>
      <c r="B7" s="17" t="inlineStr">
        <is>
          <t>More Supermarket</t>
        </is>
      </c>
      <c r="C7" s="17" t="inlineStr">
        <is>
          <t>South</t>
        </is>
      </c>
      <c r="D7" s="17" t="inlineStr">
        <is>
          <t>2024-12-03</t>
        </is>
      </c>
      <c r="E7" s="17" t="inlineStr">
        <is>
          <t>2024-12-07</t>
        </is>
      </c>
      <c r="F7" s="17" t="inlineStr">
        <is>
          <t>2024-12-07</t>
        </is>
      </c>
      <c r="G7" s="35">
        <f>IFERROR(DAYS(F7,D7),"-")</f>
        <v/>
      </c>
      <c r="H7" s="36" t="n">
        <v>3</v>
      </c>
      <c r="I7" s="35">
        <f>IF(G7&gt;H7,"YES","NO")</f>
        <v/>
      </c>
      <c r="J7" s="36">
        <f>MAX(0,G7-H7)</f>
        <v/>
      </c>
      <c r="K7" s="35">
        <f>IF(G7&gt;H7+2,"Critical Delay",IF(G7&gt;H7,"Delayed","On Time"))</f>
        <v/>
      </c>
      <c r="L7" s="36">
        <f>IF(J7&gt;=3,"HIGH",IF(J7&gt;=1,"MEDIUM","LOW"))</f>
        <v/>
      </c>
    </row>
    <row r="8">
      <c r="A8" s="20" t="inlineStr">
        <is>
          <t>ORD-006</t>
        </is>
      </c>
      <c r="B8" s="20" t="inlineStr">
        <is>
          <t>Croma</t>
        </is>
      </c>
      <c r="C8" s="20" t="inlineStr">
        <is>
          <t>West</t>
        </is>
      </c>
      <c r="D8" s="20" t="inlineStr">
        <is>
          <t>2024-12-03</t>
        </is>
      </c>
      <c r="E8" s="20" t="inlineStr">
        <is>
          <t>2024-12-06</t>
        </is>
      </c>
      <c r="F8" s="20" t="inlineStr">
        <is>
          <t>2024-12-05</t>
        </is>
      </c>
      <c r="G8" s="37">
        <f>IFERROR(DAYS(F8,D8),"-")</f>
        <v/>
      </c>
      <c r="H8" s="38" t="n">
        <v>3</v>
      </c>
      <c r="I8" s="37">
        <f>IF(G8&gt;H8,"YES","NO")</f>
        <v/>
      </c>
      <c r="J8" s="38">
        <f>MAX(0,G8-H8)</f>
        <v/>
      </c>
      <c r="K8" s="37">
        <f>IF(G8&gt;H8+2,"Critical Delay",IF(G8&gt;H8,"Delayed","On Time"))</f>
        <v/>
      </c>
      <c r="L8" s="38">
        <f>IF(J8&gt;=3,"HIGH",IF(J8&gt;=1,"MEDIUM","LOW"))</f>
        <v/>
      </c>
    </row>
    <row r="9">
      <c r="A9" s="17" t="inlineStr">
        <is>
          <t>ORD-007</t>
        </is>
      </c>
      <c r="B9" s="17" t="inlineStr">
        <is>
          <t>Vijay Sales</t>
        </is>
      </c>
      <c r="C9" s="17" t="inlineStr">
        <is>
          <t>South</t>
        </is>
      </c>
      <c r="D9" s="17" t="inlineStr">
        <is>
          <t>2024-12-04</t>
        </is>
      </c>
      <c r="E9" s="17" t="inlineStr">
        <is>
          <t>2024-12-08</t>
        </is>
      </c>
      <c r="F9" s="17" t="inlineStr">
        <is>
          <t>2024-12-09</t>
        </is>
      </c>
      <c r="G9" s="35">
        <f>IFERROR(DAYS(F9,D9),"-")</f>
        <v/>
      </c>
      <c r="H9" s="36" t="n">
        <v>3</v>
      </c>
      <c r="I9" s="35">
        <f>IF(G9&gt;H9,"YES","NO")</f>
        <v/>
      </c>
      <c r="J9" s="36">
        <f>MAX(0,G9-H9)</f>
        <v/>
      </c>
      <c r="K9" s="35">
        <f>IF(G9&gt;H9+2,"Critical Delay",IF(G9&gt;H9,"Delayed","On Time"))</f>
        <v/>
      </c>
      <c r="L9" s="36">
        <f>IF(J9&gt;=3,"HIGH",IF(J9&gt;=1,"MEDIUM","LOW"))</f>
        <v/>
      </c>
    </row>
    <row r="10">
      <c r="A10" s="20" t="inlineStr">
        <is>
          <t>ORD-008</t>
        </is>
      </c>
      <c r="B10" s="20" t="inlineStr">
        <is>
          <t>Reliance Mart</t>
        </is>
      </c>
      <c r="C10" s="20" t="inlineStr">
        <is>
          <t>East</t>
        </is>
      </c>
      <c r="D10" s="20" t="inlineStr">
        <is>
          <t>2024-12-04</t>
        </is>
      </c>
      <c r="E10" s="20" t="inlineStr">
        <is>
          <t>2024-12-07</t>
        </is>
      </c>
      <c r="F10" s="20" t="inlineStr">
        <is>
          <t>2024-12-07</t>
        </is>
      </c>
      <c r="G10" s="37">
        <f>IFERROR(DAYS(F10,D10),"-")</f>
        <v/>
      </c>
      <c r="H10" s="38" t="n">
        <v>3</v>
      </c>
      <c r="I10" s="37">
        <f>IF(G10&gt;H10,"YES","NO")</f>
        <v/>
      </c>
      <c r="J10" s="38">
        <f>MAX(0,G10-H10)</f>
        <v/>
      </c>
      <c r="K10" s="37">
        <f>IF(G10&gt;H10+2,"Critical Delay",IF(G10&gt;H10,"Delayed","On Time"))</f>
        <v/>
      </c>
      <c r="L10" s="38">
        <f>IF(J10&gt;=3,"HIGH",IF(J10&gt;=1,"MEDIUM","LOW"))</f>
        <v/>
      </c>
    </row>
    <row r="11">
      <c r="A11" s="17" t="inlineStr">
        <is>
          <t>ORD-009</t>
        </is>
      </c>
      <c r="B11" s="17" t="inlineStr">
        <is>
          <t>Hypercity</t>
        </is>
      </c>
      <c r="C11" s="17" t="inlineStr">
        <is>
          <t>North</t>
        </is>
      </c>
      <c r="D11" s="17" t="inlineStr">
        <is>
          <t>2024-12-05</t>
        </is>
      </c>
      <c r="E11" s="17" t="inlineStr">
        <is>
          <t>2024-12-09</t>
        </is>
      </c>
      <c r="F11" s="17" t="inlineStr">
        <is>
          <t>2024-12-12</t>
        </is>
      </c>
      <c r="G11" s="35">
        <f>IFERROR(DAYS(F11,D11),"-")</f>
        <v/>
      </c>
      <c r="H11" s="36" t="n">
        <v>3</v>
      </c>
      <c r="I11" s="35">
        <f>IF(G11&gt;H11,"YES","NO")</f>
        <v/>
      </c>
      <c r="J11" s="36">
        <f>MAX(0,G11-H11)</f>
        <v/>
      </c>
      <c r="K11" s="35">
        <f>IF(G11&gt;H11+2,"Critical Delay",IF(G11&gt;H11,"Delayed","On Time"))</f>
        <v/>
      </c>
      <c r="L11" s="36">
        <f>IF(J11&gt;=3,"HIGH",IF(J11&gt;=1,"MEDIUM","LOW"))</f>
        <v/>
      </c>
    </row>
    <row r="12">
      <c r="A12" s="20" t="inlineStr">
        <is>
          <t>ORD-010</t>
        </is>
      </c>
      <c r="B12" s="20" t="inlineStr">
        <is>
          <t>D-Mart</t>
        </is>
      </c>
      <c r="C12" s="20" t="inlineStr">
        <is>
          <t>South</t>
        </is>
      </c>
      <c r="D12" s="20" t="inlineStr">
        <is>
          <t>2024-12-05</t>
        </is>
      </c>
      <c r="E12" s="20" t="inlineStr">
        <is>
          <t>2024-12-08</t>
        </is>
      </c>
      <c r="F12" s="20" t="inlineStr">
        <is>
          <t>2024-12-08</t>
        </is>
      </c>
      <c r="G12" s="37">
        <f>IFERROR(DAYS(F12,D12),"-")</f>
        <v/>
      </c>
      <c r="H12" s="38" t="n">
        <v>3</v>
      </c>
      <c r="I12" s="37">
        <f>IF(G12&gt;H12,"YES","NO")</f>
        <v/>
      </c>
      <c r="J12" s="38">
        <f>MAX(0,G12-H12)</f>
        <v/>
      </c>
      <c r="K12" s="37">
        <f>IF(G12&gt;H12+2,"Critical Delay",IF(G12&gt;H12,"Delayed","On Time"))</f>
        <v/>
      </c>
      <c r="L12" s="38">
        <f>IF(J12&gt;=3,"HIGH",IF(J12&gt;=1,"MEDIUM","LOW"))</f>
        <v/>
      </c>
    </row>
    <row r="14" ht="22" customHeight="1">
      <c r="A14" s="3" t="inlineStr">
        <is>
          <t>SUMMARY METRICS</t>
        </is>
      </c>
      <c r="B14" s="39" t="n"/>
    </row>
    <row r="15">
      <c r="A15" s="40" t="inlineStr">
        <is>
          <t>Total Orders</t>
        </is>
      </c>
      <c r="B15" s="41">
        <f>COUNTA(A3:A12)</f>
        <v/>
      </c>
    </row>
    <row r="16">
      <c r="A16" s="42" t="inlineStr">
        <is>
          <t>On-Time Deliveries</t>
        </is>
      </c>
      <c r="B16" s="43">
        <f>COUNTIF(K3:K12,"On Time")</f>
        <v/>
      </c>
    </row>
    <row r="17">
      <c r="A17" s="40" t="inlineStr">
        <is>
          <t>Delayed Orders</t>
        </is>
      </c>
      <c r="B17" s="41">
        <f>COUNTIF(K3:K12,"Delayed")+COUNTIF(K3:K12,"Critical Delay")</f>
        <v/>
      </c>
    </row>
    <row r="18">
      <c r="A18" s="42" t="inlineStr">
        <is>
          <t>Critical Delays</t>
        </is>
      </c>
      <c r="B18" s="43">
        <f>COUNTIF(K3:K12,"Critical Delay")</f>
        <v/>
      </c>
    </row>
    <row r="19">
      <c r="A19" s="40" t="inlineStr">
        <is>
          <t>On-Time %</t>
        </is>
      </c>
      <c r="B19" s="44">
        <f>IFERROR(COUNTIF(K3:K12,"On Time")/COUNTA(A3:A12)*100,0)</f>
        <v/>
      </c>
    </row>
    <row r="20">
      <c r="A20" s="42" t="inlineStr">
        <is>
          <t>Avg TAT (Days)</t>
        </is>
      </c>
      <c r="B20" s="43">
        <f>IFERROR(AVERAGE(G3:G12),0)</f>
        <v/>
      </c>
    </row>
  </sheetData>
  <mergeCells count="2">
    <mergeCell ref="A1:L1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Q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8" customWidth="1" min="4" max="4"/>
    <col width="14" customWidth="1" min="5" max="5"/>
    <col width="16" customWidth="1" min="6" max="6"/>
    <col width="14" customWidth="1" min="7" max="7"/>
    <col width="10" customWidth="1" min="8" max="8"/>
    <col width="3" customWidth="1" min="9" max="9"/>
    <col width="14" customWidth="1" min="10" max="10"/>
    <col width="20" customWidth="1" min="11" max="11"/>
    <col width="14" customWidth="1" min="12" max="12"/>
    <col width="18" customWidth="1" min="13" max="13"/>
    <col width="14" customWidth="1" min="14" max="14"/>
    <col width="16" customWidth="1" min="15" max="15"/>
    <col width="14" customWidth="1" min="16" max="16"/>
    <col width="10" customWidth="1" min="17" max="17"/>
  </cols>
  <sheetData>
    <row r="1">
      <c r="A1" s="14" t="inlineStr">
        <is>
          <t>POWER QUERY — DIRTY DATA (Before) vs CLEAN DATA (After)</t>
        </is>
      </c>
      <c r="J1" s="45" t="inlineStr">
        <is>
          <t>CLEAN DATA (After Power Query)</t>
        </is>
      </c>
    </row>
    <row r="2">
      <c r="A2" s="46" t="inlineStr">
        <is>
          <t>EMP ID</t>
        </is>
      </c>
      <c r="B2" s="46" t="inlineStr">
        <is>
          <t>Name</t>
        </is>
      </c>
      <c r="C2" s="46" t="inlineStr">
        <is>
          <t xml:space="preserve">  salary </t>
        </is>
      </c>
      <c r="D2" s="46" t="inlineStr">
        <is>
          <t>Dept</t>
        </is>
      </c>
      <c r="E2" s="46" t="inlineStr">
        <is>
          <t>Join Date</t>
        </is>
      </c>
      <c r="F2" s="46" t="inlineStr">
        <is>
          <t>Phone</t>
        </is>
      </c>
      <c r="G2" s="46" t="inlineStr">
        <is>
          <t>City</t>
        </is>
      </c>
      <c r="H2" s="46" t="inlineStr">
        <is>
          <t>Active</t>
        </is>
      </c>
      <c r="J2" s="47" t="inlineStr">
        <is>
          <t>EMP ID</t>
        </is>
      </c>
      <c r="K2" s="47" t="inlineStr">
        <is>
          <t>Name</t>
        </is>
      </c>
      <c r="L2" s="47" t="inlineStr">
        <is>
          <t>Salary (₹)</t>
        </is>
      </c>
      <c r="M2" s="47" t="inlineStr">
        <is>
          <t>Department</t>
        </is>
      </c>
      <c r="N2" s="47" t="inlineStr">
        <is>
          <t>Join Date</t>
        </is>
      </c>
      <c r="O2" s="47" t="inlineStr">
        <is>
          <t>Phone</t>
        </is>
      </c>
      <c r="P2" s="47" t="inlineStr">
        <is>
          <t>City</t>
        </is>
      </c>
      <c r="Q2" s="47" t="inlineStr">
        <is>
          <t>Is Active</t>
        </is>
      </c>
    </row>
    <row r="3">
      <c r="A3" s="48" t="inlineStr">
        <is>
          <t xml:space="preserve">E001 </t>
        </is>
      </c>
      <c r="B3" s="48" t="inlineStr">
        <is>
          <t xml:space="preserve">  Ravi Kumar</t>
        </is>
      </c>
      <c r="C3" s="48" t="inlineStr">
        <is>
          <t>65,000</t>
        </is>
      </c>
      <c r="D3" s="48" t="inlineStr">
        <is>
          <t>analytics</t>
        </is>
      </c>
      <c r="E3" s="48" t="inlineStr">
        <is>
          <t>01-jan-2022</t>
        </is>
      </c>
      <c r="F3" s="48" t="inlineStr">
        <is>
          <t>9876543210</t>
        </is>
      </c>
      <c r="G3" s="48" t="inlineStr">
        <is>
          <t>HYDERABAD</t>
        </is>
      </c>
      <c r="H3" s="48" t="inlineStr">
        <is>
          <t>1</t>
        </is>
      </c>
      <c r="J3" s="49" t="inlineStr">
        <is>
          <t>E001</t>
        </is>
      </c>
      <c r="K3" s="49" t="inlineStr">
        <is>
          <t>Ravi Kumar</t>
        </is>
      </c>
      <c r="L3" s="50" t="n">
        <v>65000</v>
      </c>
      <c r="M3" s="49" t="inlineStr">
        <is>
          <t>Analytics</t>
        </is>
      </c>
      <c r="N3" s="49" t="inlineStr">
        <is>
          <t>01-Jan-2022</t>
        </is>
      </c>
      <c r="O3" s="49" t="inlineStr">
        <is>
          <t>9876543210</t>
        </is>
      </c>
      <c r="P3" s="49" t="inlineStr">
        <is>
          <t>Hyderabad</t>
        </is>
      </c>
      <c r="Q3" s="49" t="inlineStr">
        <is>
          <t>Yes</t>
        </is>
      </c>
    </row>
    <row r="4">
      <c r="A4" s="48" t="inlineStr">
        <is>
          <t>E002</t>
        </is>
      </c>
      <c r="B4" s="48" t="inlineStr">
        <is>
          <t>priya sharma</t>
        </is>
      </c>
      <c r="C4" s="48" t="inlineStr">
        <is>
          <t>48000.00</t>
        </is>
      </c>
      <c r="D4" s="48" t="inlineStr">
        <is>
          <t>HR</t>
        </is>
      </c>
      <c r="E4" s="48" t="inlineStr">
        <is>
          <t>2022/02/15</t>
        </is>
      </c>
      <c r="F4" s="48" t="inlineStr">
        <is>
          <t>98765-43211</t>
        </is>
      </c>
      <c r="G4" s="48" t="inlineStr">
        <is>
          <t>bangalore</t>
        </is>
      </c>
      <c r="H4" s="48" t="inlineStr">
        <is>
          <t>TRUE</t>
        </is>
      </c>
      <c r="J4" s="49" t="inlineStr">
        <is>
          <t>E002</t>
        </is>
      </c>
      <c r="K4" s="49" t="inlineStr">
        <is>
          <t>Priya Sharma</t>
        </is>
      </c>
      <c r="L4" s="50" t="n">
        <v>48000</v>
      </c>
      <c r="M4" s="49" t="inlineStr">
        <is>
          <t>HR</t>
        </is>
      </c>
      <c r="N4" s="49" t="inlineStr">
        <is>
          <t>15-Feb-2022</t>
        </is>
      </c>
      <c r="O4" s="49" t="inlineStr">
        <is>
          <t>9876543211</t>
        </is>
      </c>
      <c r="P4" s="49" t="inlineStr">
        <is>
          <t>Bangalore</t>
        </is>
      </c>
      <c r="Q4" s="49" t="inlineStr">
        <is>
          <t>Yes</t>
        </is>
      </c>
    </row>
    <row r="5">
      <c r="A5" s="48" t="inlineStr">
        <is>
          <t>e003</t>
        </is>
      </c>
      <c r="B5" s="48" t="inlineStr">
        <is>
          <t>Amit Thapa</t>
        </is>
      </c>
      <c r="C5" s="48" t="inlineStr">
        <is>
          <t>55000</t>
        </is>
      </c>
      <c r="D5" s="48" t="inlineStr">
        <is>
          <t>Operations</t>
        </is>
      </c>
      <c r="E5" s="48" t="inlineStr">
        <is>
          <t>15-03-2022</t>
        </is>
      </c>
      <c r="F5" s="48" t="inlineStr"/>
      <c r="G5" s="48" t="inlineStr">
        <is>
          <t>Kathmandu</t>
        </is>
      </c>
      <c r="H5" s="48" t="inlineStr">
        <is>
          <t>yes</t>
        </is>
      </c>
      <c r="J5" s="49" t="inlineStr">
        <is>
          <t>E003</t>
        </is>
      </c>
      <c r="K5" s="49" t="inlineStr">
        <is>
          <t>Amit Thapa</t>
        </is>
      </c>
      <c r="L5" s="50" t="n">
        <v>55000</v>
      </c>
      <c r="M5" s="49" t="inlineStr">
        <is>
          <t>Operations</t>
        </is>
      </c>
      <c r="N5" s="49" t="inlineStr">
        <is>
          <t>15-Mar-2022</t>
        </is>
      </c>
      <c r="O5" s="49" t="inlineStr">
        <is>
          <t>—</t>
        </is>
      </c>
      <c r="P5" s="49" t="inlineStr">
        <is>
          <t>Kathmandu</t>
        </is>
      </c>
      <c r="Q5" s="49" t="inlineStr">
        <is>
          <t>Yes</t>
        </is>
      </c>
    </row>
    <row r="6">
      <c r="A6" s="48" t="inlineStr">
        <is>
          <t>E004</t>
        </is>
      </c>
      <c r="B6" s="48" t="inlineStr">
        <is>
          <t>SNEHA PATEL</t>
        </is>
      </c>
      <c r="C6" s="48" t="inlineStr">
        <is>
          <t>82,000.00</t>
        </is>
      </c>
      <c r="D6" s="48" t="inlineStr">
        <is>
          <t>bi &amp; analytics</t>
        </is>
      </c>
      <c r="E6" s="48" t="inlineStr">
        <is>
          <t>04/04/2022</t>
        </is>
      </c>
      <c r="F6" s="48" t="inlineStr">
        <is>
          <t>9876543213</t>
        </is>
      </c>
      <c r="G6" s="48" t="inlineStr">
        <is>
          <t>pune</t>
        </is>
      </c>
      <c r="H6" s="48" t="inlineStr">
        <is>
          <t>1</t>
        </is>
      </c>
      <c r="J6" s="49" t="inlineStr">
        <is>
          <t>E004</t>
        </is>
      </c>
      <c r="K6" s="49" t="inlineStr">
        <is>
          <t>Sneha Patel</t>
        </is>
      </c>
      <c r="L6" s="50" t="n">
        <v>82000</v>
      </c>
      <c r="M6" s="49" t="inlineStr">
        <is>
          <t>BI &amp; Analytics</t>
        </is>
      </c>
      <c r="N6" s="49" t="inlineStr">
        <is>
          <t>04-Apr-2022</t>
        </is>
      </c>
      <c r="O6" s="49" t="inlineStr">
        <is>
          <t>9876543213</t>
        </is>
      </c>
      <c r="P6" s="49" t="inlineStr">
        <is>
          <t>Pune</t>
        </is>
      </c>
      <c r="Q6" s="49" t="inlineStr">
        <is>
          <t>Yes</t>
        </is>
      </c>
    </row>
    <row r="7">
      <c r="A7" s="48" t="inlineStr">
        <is>
          <t>E005</t>
        </is>
      </c>
      <c r="B7" s="48" t="inlineStr"/>
      <c r="C7" s="48" t="inlineStr">
        <is>
          <t>45000</t>
        </is>
      </c>
      <c r="D7" s="48" t="inlineStr">
        <is>
          <t>Supply Chain</t>
        </is>
      </c>
      <c r="E7" s="48" t="inlineStr"/>
      <c r="F7" s="48" t="inlineStr">
        <is>
          <t>9876543214</t>
        </is>
      </c>
      <c r="G7" s="48" t="inlineStr">
        <is>
          <t>hyderabad</t>
        </is>
      </c>
      <c r="H7" s="48" t="inlineStr">
        <is>
          <t>FALSE</t>
        </is>
      </c>
      <c r="J7" s="49" t="inlineStr">
        <is>
          <t>E005</t>
        </is>
      </c>
      <c r="K7" s="49" t="inlineStr">
        <is>
          <t>[Missing]</t>
        </is>
      </c>
      <c r="L7" s="50" t="n">
        <v>45000</v>
      </c>
      <c r="M7" s="49" t="inlineStr">
        <is>
          <t>Supply Chain</t>
        </is>
      </c>
      <c r="N7" s="49" t="inlineStr">
        <is>
          <t>[Missing]</t>
        </is>
      </c>
      <c r="O7" s="49" t="inlineStr">
        <is>
          <t>9876543214</t>
        </is>
      </c>
      <c r="P7" s="49" t="inlineStr">
        <is>
          <t>Hyderabad</t>
        </is>
      </c>
      <c r="Q7" s="49" t="inlineStr">
        <is>
          <t>No</t>
        </is>
      </c>
    </row>
    <row r="8">
      <c r="A8" s="48" t="inlineStr">
        <is>
          <t>E006</t>
        </is>
      </c>
      <c r="B8" s="48" t="inlineStr">
        <is>
          <t>Meera Joshi</t>
        </is>
      </c>
      <c r="C8" s="48" t="inlineStr">
        <is>
          <t>52000</t>
        </is>
      </c>
      <c r="D8" s="48" t="inlineStr">
        <is>
          <t>HR Analytics</t>
        </is>
      </c>
      <c r="E8" s="48" t="inlineStr">
        <is>
          <t>06-06-2022</t>
        </is>
      </c>
      <c r="F8" s="48" t="inlineStr">
        <is>
          <t>9876543215</t>
        </is>
      </c>
      <c r="G8" s="48" t="inlineStr">
        <is>
          <t xml:space="preserve"> Mumbai </t>
        </is>
      </c>
      <c r="H8" s="48" t="inlineStr">
        <is>
          <t>TRUE</t>
        </is>
      </c>
      <c r="J8" s="49" t="inlineStr">
        <is>
          <t>E006</t>
        </is>
      </c>
      <c r="K8" s="49" t="inlineStr">
        <is>
          <t>Meera Joshi</t>
        </is>
      </c>
      <c r="L8" s="50" t="n">
        <v>52000</v>
      </c>
      <c r="M8" s="49" t="inlineStr">
        <is>
          <t>HR Analytics</t>
        </is>
      </c>
      <c r="N8" s="49" t="inlineStr">
        <is>
          <t>06-Jun-2022</t>
        </is>
      </c>
      <c r="O8" s="49" t="inlineStr">
        <is>
          <t>9876543215</t>
        </is>
      </c>
      <c r="P8" s="49" t="inlineStr">
        <is>
          <t>Mumbai</t>
        </is>
      </c>
      <c r="Q8" s="49" t="inlineStr">
        <is>
          <t>Yes</t>
        </is>
      </c>
    </row>
    <row r="9">
      <c r="A9" s="48" t="inlineStr">
        <is>
          <t>N/A</t>
        </is>
      </c>
      <c r="B9" s="48" t="inlineStr">
        <is>
          <t>Bikash Rai</t>
        </is>
      </c>
      <c r="C9" s="48" t="inlineStr">
        <is>
          <t>88,000</t>
        </is>
      </c>
      <c r="D9" s="48" t="inlineStr">
        <is>
          <t>ops</t>
        </is>
      </c>
      <c r="E9" s="48" t="inlineStr">
        <is>
          <t>07/07/2022</t>
        </is>
      </c>
      <c r="F9" s="48" t="inlineStr">
        <is>
          <t>9876543216</t>
        </is>
      </c>
      <c r="G9" s="48" t="inlineStr">
        <is>
          <t>kathmandu</t>
        </is>
      </c>
      <c r="H9" s="48" t="inlineStr">
        <is>
          <t>yes</t>
        </is>
      </c>
      <c r="J9" s="49" t="inlineStr">
        <is>
          <t>E007</t>
        </is>
      </c>
      <c r="K9" s="49" t="inlineStr">
        <is>
          <t>Bikash Rai</t>
        </is>
      </c>
      <c r="L9" s="50" t="n">
        <v>88000</v>
      </c>
      <c r="M9" s="49" t="inlineStr">
        <is>
          <t>Operations</t>
        </is>
      </c>
      <c r="N9" s="49" t="inlineStr">
        <is>
          <t>07-Jul-2022</t>
        </is>
      </c>
      <c r="O9" s="49" t="inlineStr">
        <is>
          <t>9876543216</t>
        </is>
      </c>
      <c r="P9" s="49" t="inlineStr">
        <is>
          <t>Kathmandu</t>
        </is>
      </c>
      <c r="Q9" s="49" t="inlineStr">
        <is>
          <t>Yes</t>
        </is>
      </c>
    </row>
    <row r="11">
      <c r="A11" s="51" t="inlineStr">
        <is>
          <t>POWER QUERY TRANSFORMATION STEPS (M Code Reference)</t>
        </is>
      </c>
    </row>
    <row r="12" ht="14" customHeight="1">
      <c r="A12" s="52" t="inlineStr">
        <is>
          <t>Step 1: Source — Import from Excel Table</t>
        </is>
      </c>
    </row>
    <row r="13" ht="14" customHeight="1">
      <c r="A13" s="53" t="inlineStr">
        <is>
          <t>Step 2: Trim — Table.TransformColumns(Source, {{"EMP ID", Text.Trim}, {"Name", Text.Trim}, {"City", Text.Trim}})</t>
        </is>
      </c>
    </row>
    <row r="14" ht="14" customHeight="1">
      <c r="A14" s="52" t="inlineStr">
        <is>
          <t>Step 3: Proper Case — Table.TransformColumns(#"Trimmed", {{"Name", Text.Proper}, {"City", Text.Proper}, {"Dept", Text.Proper}})</t>
        </is>
      </c>
    </row>
    <row r="15" ht="14" customHeight="1">
      <c r="A15" s="53" t="inlineStr">
        <is>
          <t>Step 4: Remove Errors — Table.RemoveRowsWithErrors(#"Cased", {"EMP ID"})</t>
        </is>
      </c>
    </row>
    <row r="16" ht="14" customHeight="1">
      <c r="A16" s="52" t="inlineStr">
        <is>
          <t>Step 5: Replace — Table.ReplaceValue(#"Cleaned", "N/A", null, Replacer.ReplaceValue, {"EMP ID"})</t>
        </is>
      </c>
    </row>
    <row r="17" ht="14" customHeight="1">
      <c r="A17" s="53" t="inlineStr">
        <is>
          <t>Step 6: Clean Salary — Table.TransformColumns(#"Replaced", {{"Salary", each Number.From(Text.Remove(_,{","}))})</t>
        </is>
      </c>
    </row>
    <row r="18" ht="14" customHeight="1">
      <c r="A18" s="52" t="inlineStr">
        <is>
          <t>Step 7: Normalize Active — Table.ReplaceValue — map '1','TRUE','yes' → 'Yes'; '0','FALSE','no' → 'No'</t>
        </is>
      </c>
    </row>
    <row r="19" ht="14" customHeight="1">
      <c r="A19" s="53" t="inlineStr">
        <is>
          <t>Step 8: Filter — Table.SelectRows(#"Normalized", each [EMP ID] &lt;&gt; null)</t>
        </is>
      </c>
    </row>
  </sheetData>
  <mergeCells count="11">
    <mergeCell ref="A14:Q14"/>
    <mergeCell ref="A17:Q17"/>
    <mergeCell ref="A18:Q18"/>
    <mergeCell ref="A12:Q12"/>
    <mergeCell ref="A16:Q16"/>
    <mergeCell ref="J1:Q1"/>
    <mergeCell ref="A15:Q15"/>
    <mergeCell ref="A1:H1"/>
    <mergeCell ref="A19:Q19"/>
    <mergeCell ref="A11:Q11"/>
    <mergeCell ref="A13:Q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2026-04-13T05:44:02Z</dcterms:created>
  <dcterms:modified xmlns:dcterms="http://purl.org/dc/terms/" xmlns:xsi="http://www.w3.org/2001/XMLSchema-instance" xsi:type="dcterms:W3CDTF">2026-04-13T05:44:03Z</dcterms:modified>
</cp:coreProperties>
</file>